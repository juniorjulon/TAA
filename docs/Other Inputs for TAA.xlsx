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NIOR\Documents\GitHub\TAA\docs\"/>
    </mc:Choice>
  </mc:AlternateContent>
  <xr:revisionPtr revIDLastSave="0" documentId="8_{4FD4A9BE-AD62-426B-BFD1-DEB0834E3E73}" xr6:coauthVersionLast="47" xr6:coauthVersionMax="47" xr10:uidLastSave="{00000000-0000-0000-0000-000000000000}"/>
  <bookViews>
    <workbookView xWindow="-120" yWindow="-120" windowWidth="21840" windowHeight="13740" xr2:uid="{31E377BB-6B52-4DBD-BE43-6D071EDD7DA5}"/>
  </bookViews>
  <sheets>
    <sheet name="PAR_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2" i="2" l="1"/>
  <c r="I3" i="2"/>
  <c r="I4" i="2"/>
  <c r="I5" i="2"/>
  <c r="I6" i="2"/>
  <c r="I7" i="2"/>
  <c r="I8" i="2"/>
  <c r="I9" i="2"/>
  <c r="I10" i="2"/>
  <c r="I11" i="2"/>
  <c r="I12" i="2"/>
  <c r="I13" i="2"/>
  <c r="I14" i="2"/>
</calcChain>
</file>

<file path=xl/sharedStrings.xml><?xml version="1.0" encoding="utf-8"?>
<sst xmlns="http://schemas.openxmlformats.org/spreadsheetml/2006/main" count="266" uniqueCount="88">
  <si>
    <t>cómo hacer para views relativos vs absolutos</t>
  </si>
  <si>
    <t>(1) 10Y US Treasury Yield, (2) 10Y US Treasury Yield</t>
  </si>
  <si>
    <t>Computed</t>
  </si>
  <si>
    <t>TBD (check PAR_1)</t>
  </si>
  <si>
    <t>Current vs Avg vs Historial Percentil vs ±1σ</t>
  </si>
  <si>
    <t>UST Term Premium: 10Y - 2Y</t>
  </si>
  <si>
    <t>FI Valuation</t>
  </si>
  <si>
    <t>Valuation</t>
  </si>
  <si>
    <t>IV</t>
  </si>
  <si>
    <t>OAS</t>
  </si>
  <si>
    <t>(1) Current Market Price, (2) EPS, (3) CPI</t>
  </si>
  <si>
    <t>TBD</t>
  </si>
  <si>
    <t>Shiller CAPE: Current Market Price / Average 10-Year Inflation-Adjusted Earnings</t>
  </si>
  <si>
    <t>Equity Valuation</t>
  </si>
  <si>
    <t>(1) Earnings Yield, (2) 10-year Tsy Yield</t>
  </si>
  <si>
    <t>Equity Risk Premium: Earnings Yield - 10 Treasury Yield</t>
  </si>
  <si>
    <t>12-month forward P/E</t>
  </si>
  <si>
    <t>P/E Relative (For example P/E World ex US vs P/E US):</t>
  </si>
  <si>
    <t>P/E Absolute</t>
  </si>
  <si>
    <t>Index Breadth</t>
  </si>
  <si>
    <t>Sentiment</t>
  </si>
  <si>
    <t>III</t>
  </si>
  <si>
    <t>Put/Call Ratio</t>
  </si>
  <si>
    <t>TED Spread</t>
  </si>
  <si>
    <t>Funding &amp; Liquidity</t>
  </si>
  <si>
    <t>Hedge Fund Positioning</t>
  </si>
  <si>
    <t>Positioning</t>
  </si>
  <si>
    <t>ETF Flows</t>
  </si>
  <si>
    <t>Fund Flows</t>
  </si>
  <si>
    <t>MOVE Last Price</t>
  </si>
  <si>
    <t>Current MOVE vs Average vs Historical Percentil</t>
  </si>
  <si>
    <t>Market-Implied</t>
  </si>
  <si>
    <t>VIX Last Price</t>
  </si>
  <si>
    <t>Current VIX vs Average vs Historical Percentil</t>
  </si>
  <si>
    <t>Last Price</t>
  </si>
  <si>
    <t>CDS 1M/3M/6M/12M chabge (bps)</t>
  </si>
  <si>
    <t>CDS</t>
  </si>
  <si>
    <t>Spread Trend</t>
  </si>
  <si>
    <t>Momentum</t>
  </si>
  <si>
    <t>II</t>
  </si>
  <si>
    <t>OAS 1M/3M/6M/12M chabge (bps)</t>
  </si>
  <si>
    <t>Total Return Index</t>
  </si>
  <si>
    <t>RSI(14)</t>
  </si>
  <si>
    <t>RSI Absolute</t>
  </si>
  <si>
    <t>Technical Overbought</t>
  </si>
  <si>
    <t>Breakouts &amp; Crossovers, High/Low 3M/6M, golden cross</t>
  </si>
  <si>
    <t>Total Return</t>
  </si>
  <si>
    <t>Breakouts &amp; Crossovers</t>
  </si>
  <si>
    <t>Moving Averages: 50d vs 200d MA distance (%)</t>
  </si>
  <si>
    <t>Moving Averages</t>
  </si>
  <si>
    <t>Rolling Returns 1M/3M/6M/12M</t>
  </si>
  <si>
    <t>Price Trend</t>
  </si>
  <si>
    <t>US, Eurozone, China, Japan, LatAm, DM, EM</t>
  </si>
  <si>
    <t>Earnings Surprise: Beat Percentage</t>
  </si>
  <si>
    <t>Earnings Surprise</t>
  </si>
  <si>
    <t>Corporate</t>
  </si>
  <si>
    <t>Fundamental</t>
  </si>
  <si>
    <t>I</t>
  </si>
  <si>
    <t>Earnings Growth: Fwd EPS</t>
  </si>
  <si>
    <t>Earnings Growth</t>
  </si>
  <si>
    <t>US, Peru, Global, DM, EM, European Union, Eurozone, LatAm, Asia (ex Japan), Japan, China</t>
  </si>
  <si>
    <t>GDP Expected Growth</t>
  </si>
  <si>
    <t>Expected Growth</t>
  </si>
  <si>
    <t>Macro</t>
  </si>
  <si>
    <t>US, Eurozone, China, Global</t>
  </si>
  <si>
    <t>Citi Economic Surprise Index</t>
  </si>
  <si>
    <t>Surprise Index</t>
  </si>
  <si>
    <t>US</t>
  </si>
  <si>
    <t>New Orders/Inventories</t>
  </si>
  <si>
    <t>PMI</t>
  </si>
  <si>
    <t>Manufacturing PMI New Export Orders</t>
  </si>
  <si>
    <t>Manufacturing PMI Production</t>
  </si>
  <si>
    <t>Manufacturing PMI Employment</t>
  </si>
  <si>
    <t>US, Eurozone, China</t>
  </si>
  <si>
    <t>Manufacturing PMI</t>
  </si>
  <si>
    <t>Services PMI Supplier Deliveries</t>
  </si>
  <si>
    <t>Services PMI Business Activity</t>
  </si>
  <si>
    <t>Services PMI Employment</t>
  </si>
  <si>
    <t>Services PMI</t>
  </si>
  <si>
    <t>Data Source</t>
  </si>
  <si>
    <t>Ticker</t>
  </si>
  <si>
    <t>Availability</t>
  </si>
  <si>
    <t>Metrics to be applied</t>
  </si>
  <si>
    <t>Index/Series</t>
  </si>
  <si>
    <t>Category</t>
  </si>
  <si>
    <t>Subpilar</t>
  </si>
  <si>
    <t>Pilar</t>
  </si>
  <si>
    <t>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</si>
</sst>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2" fillId="0" borderId="1" xfId="0" applyFont="1" applyBorder="1"/>
    <xf numFmtId="0" fontId="2" fillId="0" borderId="1" xfId="0" applyFont="1" applyBorder="1" applyAlignment="1">
      <alignment horizontal="left"/>
    </xf>
  </cellXfs>
  <cellStyles count="1">
    <cellStyle name="Normal" xfId="0" builtinId="0"/>
  </cellStyles>
  <dxfs count="14">
    <dxf>
      <font>
        <color rgb="FF9C5700"/>
      </font>
      <fill>
        <patternFill>
          <bgColor rgb="FFFFEB9C"/>
        </patternFill>
      </fill>
    </dxf>
    <dxf>
      <alignment horizontal="general"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border>
        <top style="thin">
          <color auto="1"/>
        </top>
        <bottom style="medium">
          <color auto="1"/>
        </bottom>
      </border>
    </dxf>
    <dxf>
      <border>
        <bottom style="thin">
          <color auto="1"/>
        </bottom>
      </border>
    </dxf>
  </dxfs>
  <tableStyles count="1" defaultTableStyle="TableStyleMedium2" defaultPivotStyle="PivotStyleLight16">
    <tableStyle name="Rimac 1" pivot="0" count="2" xr9:uid="{D2F3D994-0A7B-4851-AFAD-818B17172CD9}">
      <tableStyleElement type="wholeTable" dxfId="13"/>
      <tableStyleElement type="headerRow" dxfId="1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7F7574D-B0C2-4915-A283-507F030AF316}" name="Tabla2" displayName="Tabla2" ref="A1:I33" totalsRowShown="0" headerRowDxfId="11" headerRowBorderDxfId="10">
  <autoFilter ref="A1:I33" xr:uid="{EDB8FAC1-DD1E-468E-ADF5-16A3DFA1FD93}"/>
  <tableColumns count="9">
    <tableColumn id="1" xr3:uid="{C471DC0A-C270-4959-A354-2A1571DBD9BF}" name="#" dataDxfId="9"/>
    <tableColumn id="2" xr3:uid="{4F776E23-798B-4CCF-97FB-7BA18850ED8D}" name="Pilar" dataDxfId="8"/>
    <tableColumn id="3" xr3:uid="{8498CE12-23C5-4A4B-9718-E30E58799E2E}" name="Subpilar" dataDxfId="7"/>
    <tableColumn id="4" xr3:uid="{D44F61A7-C792-4BE5-A467-750C44D60354}" name="Category" dataDxfId="6"/>
    <tableColumn id="5" xr3:uid="{5AC45F4A-CD3B-4169-80AB-BAAFAB714C8D}" name="Index/Series" dataDxfId="5"/>
    <tableColumn id="6" xr3:uid="{6684DF7F-A18F-406B-B24F-9E41E2110EAF}" name="Metrics to be applied" dataDxfId="4"/>
    <tableColumn id="7" xr3:uid="{CE4FEC2A-621A-4FE0-ADEC-C7B8E91545F0}" name="Availability" dataDxfId="3"/>
    <tableColumn id="8" xr3:uid="{B1FAC6E8-A93E-4598-941E-C31B6469879E}" name="Ticker" dataDxfId="2"/>
    <tableColumn id="9" xr3:uid="{F6CECCCD-DC78-4E36-98F6-D3A6ADB3752C}" name="Data Source" dataDxfId="1"/>
  </tableColumns>
  <tableStyleInfo name="Rimac 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74C6F-FD36-4A48-B870-EC1FD438A0EE}">
  <dimension ref="A1:I58"/>
  <sheetViews>
    <sheetView tabSelected="1" zoomScaleNormal="100" workbookViewId="0">
      <selection activeCell="E12" sqref="E12"/>
    </sheetView>
  </sheetViews>
  <sheetFormatPr baseColWidth="10" defaultRowHeight="15" x14ac:dyDescent="0.25"/>
  <cols>
    <col min="1" max="1" width="7.28515625" style="2" customWidth="1"/>
    <col min="2" max="2" width="14.28515625" customWidth="1"/>
    <col min="3" max="3" width="11.140625" customWidth="1"/>
    <col min="4" max="4" width="23.42578125" customWidth="1"/>
    <col min="5" max="5" width="50.140625" customWidth="1"/>
    <col min="6" max="6" width="41.5703125" style="1" bestFit="1" customWidth="1"/>
    <col min="7" max="7" width="52.5703125" customWidth="1"/>
    <col min="9" max="9" width="37.42578125" customWidth="1"/>
  </cols>
  <sheetData>
    <row r="1" spans="1:9" x14ac:dyDescent="0.25">
      <c r="A1" s="10" t="s">
        <v>87</v>
      </c>
      <c r="B1" s="12" t="s">
        <v>86</v>
      </c>
      <c r="C1" s="12" t="s">
        <v>85</v>
      </c>
      <c r="D1" s="12" t="s">
        <v>84</v>
      </c>
      <c r="E1" s="12" t="s">
        <v>83</v>
      </c>
      <c r="F1" s="13" t="s">
        <v>82</v>
      </c>
      <c r="G1" s="12" t="s">
        <v>81</v>
      </c>
      <c r="H1" s="12" t="s">
        <v>80</v>
      </c>
      <c r="I1" s="12" t="s">
        <v>79</v>
      </c>
    </row>
    <row r="2" spans="1:9" x14ac:dyDescent="0.25">
      <c r="A2" s="2" t="s">
        <v>57</v>
      </c>
      <c r="B2" s="3" t="s">
        <v>56</v>
      </c>
      <c r="C2" s="3" t="s">
        <v>63</v>
      </c>
      <c r="D2" s="3" t="s">
        <v>69</v>
      </c>
      <c r="E2" s="4" t="s">
        <v>78</v>
      </c>
      <c r="F2" s="5" t="s">
        <v>4</v>
      </c>
      <c r="G2" s="3" t="s">
        <v>73</v>
      </c>
      <c r="H2" s="4" t="s">
        <v>2</v>
      </c>
      <c r="I2" s="3" t="str">
        <f>"Last Price - "&amp;E2</f>
        <v>Last Price - Services PMI</v>
      </c>
    </row>
    <row r="3" spans="1:9" x14ac:dyDescent="0.25">
      <c r="A3" s="2" t="s">
        <v>57</v>
      </c>
      <c r="B3" s="3" t="s">
        <v>56</v>
      </c>
      <c r="C3" s="3" t="s">
        <v>63</v>
      </c>
      <c r="D3" s="3" t="s">
        <v>69</v>
      </c>
      <c r="E3" s="4" t="s">
        <v>77</v>
      </c>
      <c r="F3" s="5" t="s">
        <v>4</v>
      </c>
      <c r="G3" s="3" t="s">
        <v>67</v>
      </c>
      <c r="H3" s="4" t="s">
        <v>2</v>
      </c>
      <c r="I3" s="3" t="str">
        <f>"Last Price - "&amp;E3</f>
        <v>Last Price - Services PMI Employment</v>
      </c>
    </row>
    <row r="4" spans="1:9" x14ac:dyDescent="0.25">
      <c r="A4" s="2" t="s">
        <v>57</v>
      </c>
      <c r="B4" s="3" t="s">
        <v>56</v>
      </c>
      <c r="C4" s="3" t="s">
        <v>63</v>
      </c>
      <c r="D4" s="3" t="s">
        <v>69</v>
      </c>
      <c r="E4" s="4" t="s">
        <v>76</v>
      </c>
      <c r="F4" s="5" t="s">
        <v>4</v>
      </c>
      <c r="G4" s="3" t="s">
        <v>67</v>
      </c>
      <c r="H4" s="4" t="s">
        <v>2</v>
      </c>
      <c r="I4" s="3" t="str">
        <f>"Last Price - "&amp;E4</f>
        <v>Last Price - Services PMI Business Activity</v>
      </c>
    </row>
    <row r="5" spans="1:9" x14ac:dyDescent="0.25">
      <c r="A5" s="2" t="s">
        <v>57</v>
      </c>
      <c r="B5" s="3" t="s">
        <v>56</v>
      </c>
      <c r="C5" s="3" t="s">
        <v>63</v>
      </c>
      <c r="D5" s="3" t="s">
        <v>69</v>
      </c>
      <c r="E5" s="4" t="s">
        <v>75</v>
      </c>
      <c r="F5" s="5" t="s">
        <v>4</v>
      </c>
      <c r="G5" s="3" t="s">
        <v>67</v>
      </c>
      <c r="H5" s="4" t="s">
        <v>2</v>
      </c>
      <c r="I5" s="3" t="str">
        <f>"Last Price - "&amp;E5</f>
        <v>Last Price - Services PMI Supplier Deliveries</v>
      </c>
    </row>
    <row r="6" spans="1:9" x14ac:dyDescent="0.25">
      <c r="A6" s="2" t="s">
        <v>57</v>
      </c>
      <c r="B6" s="3" t="s">
        <v>56</v>
      </c>
      <c r="C6" s="3" t="s">
        <v>63</v>
      </c>
      <c r="D6" s="3" t="s">
        <v>69</v>
      </c>
      <c r="E6" s="4" t="s">
        <v>74</v>
      </c>
      <c r="F6" s="5" t="s">
        <v>4</v>
      </c>
      <c r="G6" s="3" t="s">
        <v>73</v>
      </c>
      <c r="H6" s="4" t="s">
        <v>2</v>
      </c>
      <c r="I6" s="3" t="str">
        <f>"Last Price - "&amp;E6</f>
        <v>Last Price - Manufacturing PMI</v>
      </c>
    </row>
    <row r="7" spans="1:9" x14ac:dyDescent="0.25">
      <c r="A7" s="2" t="s">
        <v>57</v>
      </c>
      <c r="B7" s="3" t="s">
        <v>56</v>
      </c>
      <c r="C7" s="3" t="s">
        <v>63</v>
      </c>
      <c r="D7" s="3" t="s">
        <v>69</v>
      </c>
      <c r="E7" s="4" t="s">
        <v>72</v>
      </c>
      <c r="F7" s="5" t="s">
        <v>4</v>
      </c>
      <c r="G7" s="3" t="s">
        <v>67</v>
      </c>
      <c r="H7" s="4" t="s">
        <v>2</v>
      </c>
      <c r="I7" s="3" t="str">
        <f>"Last Price - "&amp;E7</f>
        <v>Last Price - Manufacturing PMI Employment</v>
      </c>
    </row>
    <row r="8" spans="1:9" x14ac:dyDescent="0.25">
      <c r="A8" s="2" t="s">
        <v>57</v>
      </c>
      <c r="B8" s="3" t="s">
        <v>56</v>
      </c>
      <c r="C8" s="3" t="s">
        <v>63</v>
      </c>
      <c r="D8" s="3" t="s">
        <v>69</v>
      </c>
      <c r="E8" s="4" t="s">
        <v>71</v>
      </c>
      <c r="F8" s="5" t="s">
        <v>4</v>
      </c>
      <c r="G8" s="3" t="s">
        <v>67</v>
      </c>
      <c r="H8" s="4" t="s">
        <v>2</v>
      </c>
      <c r="I8" s="3" t="str">
        <f>"Last Price - "&amp;E8</f>
        <v>Last Price - Manufacturing PMI Production</v>
      </c>
    </row>
    <row r="9" spans="1:9" x14ac:dyDescent="0.25">
      <c r="A9" s="2" t="s">
        <v>57</v>
      </c>
      <c r="B9" s="3" t="s">
        <v>56</v>
      </c>
      <c r="C9" s="3" t="s">
        <v>63</v>
      </c>
      <c r="D9" s="3" t="s">
        <v>69</v>
      </c>
      <c r="E9" s="4" t="s">
        <v>70</v>
      </c>
      <c r="F9" s="5" t="s">
        <v>4</v>
      </c>
      <c r="G9" s="3" t="s">
        <v>67</v>
      </c>
      <c r="H9" s="4" t="s">
        <v>2</v>
      </c>
      <c r="I9" s="3" t="str">
        <f>"Last Price - "&amp;E9</f>
        <v>Last Price - Manufacturing PMI New Export Orders</v>
      </c>
    </row>
    <row r="10" spans="1:9" x14ac:dyDescent="0.25">
      <c r="A10" s="2" t="s">
        <v>57</v>
      </c>
      <c r="B10" s="3" t="s">
        <v>56</v>
      </c>
      <c r="C10" s="3" t="s">
        <v>63</v>
      </c>
      <c r="D10" s="3" t="s">
        <v>69</v>
      </c>
      <c r="E10" s="4" t="s">
        <v>68</v>
      </c>
      <c r="F10" s="5" t="s">
        <v>4</v>
      </c>
      <c r="G10" s="3" t="s">
        <v>67</v>
      </c>
      <c r="H10" s="4" t="s">
        <v>2</v>
      </c>
      <c r="I10" s="3" t="str">
        <f>"Last Price - "&amp;E10</f>
        <v>Last Price - New Orders/Inventories</v>
      </c>
    </row>
    <row r="11" spans="1:9" x14ac:dyDescent="0.25">
      <c r="A11" s="2" t="s">
        <v>57</v>
      </c>
      <c r="B11" s="3" t="s">
        <v>56</v>
      </c>
      <c r="C11" s="3" t="s">
        <v>63</v>
      </c>
      <c r="D11" s="3" t="s">
        <v>66</v>
      </c>
      <c r="E11" s="4" t="s">
        <v>65</v>
      </c>
      <c r="F11" s="5" t="s">
        <v>4</v>
      </c>
      <c r="G11" s="3" t="s">
        <v>64</v>
      </c>
      <c r="H11" s="4" t="s">
        <v>2</v>
      </c>
      <c r="I11" s="3" t="str">
        <f>"Last Price - "&amp;E11</f>
        <v>Last Price - Citi Economic Surprise Index</v>
      </c>
    </row>
    <row r="12" spans="1:9" ht="30" x14ac:dyDescent="0.25">
      <c r="A12" s="2" t="s">
        <v>57</v>
      </c>
      <c r="B12" s="3" t="s">
        <v>56</v>
      </c>
      <c r="C12" s="3" t="s">
        <v>63</v>
      </c>
      <c r="D12" s="3" t="s">
        <v>62</v>
      </c>
      <c r="E12" s="4" t="s">
        <v>61</v>
      </c>
      <c r="F12" s="5" t="s">
        <v>4</v>
      </c>
      <c r="G12" s="4" t="s">
        <v>60</v>
      </c>
      <c r="H12" s="4" t="s">
        <v>2</v>
      </c>
      <c r="I12" s="3" t="str">
        <f>"Last Price - "&amp;E12</f>
        <v>Last Price - GDP Expected Growth</v>
      </c>
    </row>
    <row r="13" spans="1:9" x14ac:dyDescent="0.25">
      <c r="A13" s="2" t="s">
        <v>57</v>
      </c>
      <c r="B13" s="3" t="s">
        <v>56</v>
      </c>
      <c r="C13" s="3" t="s">
        <v>55</v>
      </c>
      <c r="D13" s="3" t="s">
        <v>59</v>
      </c>
      <c r="E13" s="4" t="s">
        <v>58</v>
      </c>
      <c r="F13" s="5" t="s">
        <v>4</v>
      </c>
      <c r="G13" s="3" t="s">
        <v>52</v>
      </c>
      <c r="H13" s="4" t="s">
        <v>2</v>
      </c>
      <c r="I13" s="3" t="str">
        <f>"Last Price - "&amp;E13</f>
        <v>Last Price - Earnings Growth: Fwd EPS</v>
      </c>
    </row>
    <row r="14" spans="1:9" x14ac:dyDescent="0.25">
      <c r="A14" s="10" t="s">
        <v>57</v>
      </c>
      <c r="B14" s="7" t="s">
        <v>56</v>
      </c>
      <c r="C14" s="7" t="s">
        <v>55</v>
      </c>
      <c r="D14" s="7" t="s">
        <v>54</v>
      </c>
      <c r="E14" s="8" t="s">
        <v>53</v>
      </c>
      <c r="F14" s="9" t="s">
        <v>4</v>
      </c>
      <c r="G14" s="7" t="s">
        <v>52</v>
      </c>
      <c r="H14" s="8" t="s">
        <v>2</v>
      </c>
      <c r="I14" s="7" t="str">
        <f>"Last Price - "&amp;E14</f>
        <v>Last Price - Earnings Surprise: Beat Percentage</v>
      </c>
    </row>
    <row r="15" spans="1:9" x14ac:dyDescent="0.25">
      <c r="A15" s="2" t="s">
        <v>39</v>
      </c>
      <c r="B15" s="3" t="s">
        <v>38</v>
      </c>
      <c r="C15" s="3"/>
      <c r="D15" s="3" t="s">
        <v>51</v>
      </c>
      <c r="E15" s="4" t="s">
        <v>46</v>
      </c>
      <c r="F15" s="5" t="s">
        <v>50</v>
      </c>
      <c r="G15" s="3" t="s">
        <v>3</v>
      </c>
      <c r="H15" s="4" t="s">
        <v>2</v>
      </c>
      <c r="I15" s="3" t="s">
        <v>41</v>
      </c>
    </row>
    <row r="16" spans="1:9" x14ac:dyDescent="0.25">
      <c r="A16" s="2" t="s">
        <v>39</v>
      </c>
      <c r="B16" s="3" t="s">
        <v>38</v>
      </c>
      <c r="C16" s="3"/>
      <c r="D16" s="3" t="s">
        <v>49</v>
      </c>
      <c r="E16" s="4" t="s">
        <v>46</v>
      </c>
      <c r="F16" s="5" t="s">
        <v>48</v>
      </c>
      <c r="G16" s="3" t="s">
        <v>3</v>
      </c>
      <c r="H16" s="4" t="s">
        <v>2</v>
      </c>
      <c r="I16" s="3" t="s">
        <v>41</v>
      </c>
    </row>
    <row r="17" spans="1:9" ht="30" x14ac:dyDescent="0.25">
      <c r="A17" s="2" t="s">
        <v>39</v>
      </c>
      <c r="B17" s="3" t="s">
        <v>38</v>
      </c>
      <c r="C17" s="3"/>
      <c r="D17" s="3" t="s">
        <v>47</v>
      </c>
      <c r="E17" s="4" t="s">
        <v>46</v>
      </c>
      <c r="F17" s="11" t="s">
        <v>45</v>
      </c>
      <c r="G17" s="3" t="s">
        <v>3</v>
      </c>
      <c r="H17" s="4" t="s">
        <v>2</v>
      </c>
      <c r="I17" s="3" t="s">
        <v>41</v>
      </c>
    </row>
    <row r="18" spans="1:9" x14ac:dyDescent="0.25">
      <c r="A18" s="2" t="s">
        <v>39</v>
      </c>
      <c r="B18" s="3" t="s">
        <v>38</v>
      </c>
      <c r="C18" s="3"/>
      <c r="D18" s="3" t="s">
        <v>44</v>
      </c>
      <c r="E18" s="4" t="s">
        <v>43</v>
      </c>
      <c r="F18" s="5" t="s">
        <v>42</v>
      </c>
      <c r="G18" s="3" t="s">
        <v>3</v>
      </c>
      <c r="H18" s="4" t="s">
        <v>2</v>
      </c>
      <c r="I18" s="3" t="s">
        <v>41</v>
      </c>
    </row>
    <row r="19" spans="1:9" x14ac:dyDescent="0.25">
      <c r="A19" s="2" t="s">
        <v>39</v>
      </c>
      <c r="B19" s="3" t="s">
        <v>38</v>
      </c>
      <c r="C19" s="3"/>
      <c r="D19" s="3" t="s">
        <v>37</v>
      </c>
      <c r="E19" s="4" t="s">
        <v>9</v>
      </c>
      <c r="F19" s="5" t="s">
        <v>40</v>
      </c>
      <c r="G19" s="3" t="s">
        <v>3</v>
      </c>
      <c r="H19" s="4" t="s">
        <v>2</v>
      </c>
      <c r="I19" s="3" t="s">
        <v>34</v>
      </c>
    </row>
    <row r="20" spans="1:9" x14ac:dyDescent="0.25">
      <c r="A20" s="10" t="s">
        <v>39</v>
      </c>
      <c r="B20" s="7" t="s">
        <v>38</v>
      </c>
      <c r="C20" s="7"/>
      <c r="D20" s="7" t="s">
        <v>37</v>
      </c>
      <c r="E20" s="8" t="s">
        <v>36</v>
      </c>
      <c r="F20" s="9" t="s">
        <v>35</v>
      </c>
      <c r="G20" s="7" t="s">
        <v>3</v>
      </c>
      <c r="H20" s="8" t="s">
        <v>2</v>
      </c>
      <c r="I20" s="7" t="s">
        <v>34</v>
      </c>
    </row>
    <row r="21" spans="1:9" x14ac:dyDescent="0.25">
      <c r="A21" s="2" t="s">
        <v>21</v>
      </c>
      <c r="B21" s="3" t="s">
        <v>20</v>
      </c>
      <c r="C21" s="3"/>
      <c r="D21" s="3" t="s">
        <v>31</v>
      </c>
      <c r="E21" s="6" t="s">
        <v>33</v>
      </c>
      <c r="F21" s="5" t="s">
        <v>4</v>
      </c>
      <c r="G21" s="3" t="s">
        <v>3</v>
      </c>
      <c r="H21" s="4" t="s">
        <v>2</v>
      </c>
      <c r="I21" s="3" t="s">
        <v>32</v>
      </c>
    </row>
    <row r="22" spans="1:9" x14ac:dyDescent="0.25">
      <c r="A22" s="2" t="s">
        <v>21</v>
      </c>
      <c r="B22" s="3" t="s">
        <v>20</v>
      </c>
      <c r="C22" s="3"/>
      <c r="D22" s="3" t="s">
        <v>31</v>
      </c>
      <c r="E22" s="6" t="s">
        <v>30</v>
      </c>
      <c r="F22" s="5" t="s">
        <v>4</v>
      </c>
      <c r="G22" s="3" t="s">
        <v>3</v>
      </c>
      <c r="H22" s="4" t="s">
        <v>2</v>
      </c>
      <c r="I22" s="3" t="s">
        <v>29</v>
      </c>
    </row>
    <row r="23" spans="1:9" x14ac:dyDescent="0.25">
      <c r="A23" s="2" t="s">
        <v>21</v>
      </c>
      <c r="B23" s="3" t="s">
        <v>20</v>
      </c>
      <c r="C23" s="3"/>
      <c r="D23" s="3" t="s">
        <v>28</v>
      </c>
      <c r="E23" s="4" t="s">
        <v>27</v>
      </c>
      <c r="F23" s="5" t="s">
        <v>11</v>
      </c>
      <c r="G23" s="3" t="s">
        <v>3</v>
      </c>
      <c r="H23" s="4" t="s">
        <v>2</v>
      </c>
      <c r="I23" s="3" t="s">
        <v>11</v>
      </c>
    </row>
    <row r="24" spans="1:9" x14ac:dyDescent="0.25">
      <c r="A24" s="2" t="s">
        <v>21</v>
      </c>
      <c r="B24" s="3" t="s">
        <v>20</v>
      </c>
      <c r="C24" s="3"/>
      <c r="D24" s="3" t="s">
        <v>26</v>
      </c>
      <c r="E24" s="4" t="s">
        <v>25</v>
      </c>
      <c r="F24" s="5" t="s">
        <v>11</v>
      </c>
      <c r="G24" s="3" t="s">
        <v>3</v>
      </c>
      <c r="H24" s="4" t="s">
        <v>2</v>
      </c>
      <c r="I24" s="3" t="s">
        <v>11</v>
      </c>
    </row>
    <row r="25" spans="1:9" x14ac:dyDescent="0.25">
      <c r="A25" s="2" t="s">
        <v>21</v>
      </c>
      <c r="B25" s="3" t="s">
        <v>20</v>
      </c>
      <c r="C25" s="3"/>
      <c r="D25" s="3" t="s">
        <v>24</v>
      </c>
      <c r="E25" s="4" t="s">
        <v>23</v>
      </c>
      <c r="F25" s="5" t="s">
        <v>11</v>
      </c>
      <c r="G25" s="3" t="s">
        <v>3</v>
      </c>
      <c r="H25" s="4" t="s">
        <v>2</v>
      </c>
      <c r="I25" s="3" t="s">
        <v>11</v>
      </c>
    </row>
    <row r="26" spans="1:9" x14ac:dyDescent="0.25">
      <c r="A26" s="2" t="s">
        <v>21</v>
      </c>
      <c r="B26" s="3" t="s">
        <v>20</v>
      </c>
      <c r="C26" s="3"/>
      <c r="D26" s="3" t="s">
        <v>11</v>
      </c>
      <c r="E26" s="4" t="s">
        <v>22</v>
      </c>
      <c r="F26" s="5" t="s">
        <v>11</v>
      </c>
      <c r="G26" s="3" t="s">
        <v>3</v>
      </c>
      <c r="H26" s="4" t="s">
        <v>2</v>
      </c>
      <c r="I26" s="3" t="s">
        <v>11</v>
      </c>
    </row>
    <row r="27" spans="1:9" x14ac:dyDescent="0.25">
      <c r="A27" s="10" t="s">
        <v>21</v>
      </c>
      <c r="B27" s="7" t="s">
        <v>20</v>
      </c>
      <c r="C27" s="7"/>
      <c r="D27" s="7" t="s">
        <v>11</v>
      </c>
      <c r="E27" s="8" t="s">
        <v>19</v>
      </c>
      <c r="F27" s="9" t="s">
        <v>11</v>
      </c>
      <c r="G27" s="7" t="s">
        <v>3</v>
      </c>
      <c r="H27" s="8" t="s">
        <v>2</v>
      </c>
      <c r="I27" s="7" t="s">
        <v>11</v>
      </c>
    </row>
    <row r="28" spans="1:9" x14ac:dyDescent="0.25">
      <c r="A28" s="2" t="s">
        <v>8</v>
      </c>
      <c r="B28" s="3" t="s">
        <v>7</v>
      </c>
      <c r="C28" s="3"/>
      <c r="D28" s="3" t="s">
        <v>13</v>
      </c>
      <c r="E28" s="4" t="s">
        <v>18</v>
      </c>
      <c r="F28" s="5" t="s">
        <v>4</v>
      </c>
      <c r="G28" s="3" t="s">
        <v>3</v>
      </c>
      <c r="H28" s="4" t="s">
        <v>2</v>
      </c>
      <c r="I28" s="3" t="s">
        <v>16</v>
      </c>
    </row>
    <row r="29" spans="1:9" x14ac:dyDescent="0.25">
      <c r="A29" s="2" t="s">
        <v>8</v>
      </c>
      <c r="B29" s="3" t="s">
        <v>7</v>
      </c>
      <c r="C29" s="3"/>
      <c r="D29" s="3" t="s">
        <v>13</v>
      </c>
      <c r="E29" s="4" t="s">
        <v>17</v>
      </c>
      <c r="F29" s="5" t="s">
        <v>4</v>
      </c>
      <c r="G29" s="3" t="s">
        <v>3</v>
      </c>
      <c r="H29" s="4" t="s">
        <v>2</v>
      </c>
      <c r="I29" s="3" t="s">
        <v>16</v>
      </c>
    </row>
    <row r="30" spans="1:9" x14ac:dyDescent="0.25">
      <c r="A30" s="2" t="s">
        <v>8</v>
      </c>
      <c r="B30" s="3" t="s">
        <v>7</v>
      </c>
      <c r="C30" s="3"/>
      <c r="D30" s="3" t="s">
        <v>13</v>
      </c>
      <c r="E30" s="6" t="s">
        <v>15</v>
      </c>
      <c r="F30" s="5" t="s">
        <v>4</v>
      </c>
      <c r="G30" s="3" t="s">
        <v>3</v>
      </c>
      <c r="H30" s="4" t="s">
        <v>11</v>
      </c>
      <c r="I30" s="3" t="s">
        <v>14</v>
      </c>
    </row>
    <row r="31" spans="1:9" ht="30" x14ac:dyDescent="0.25">
      <c r="A31" s="2" t="s">
        <v>8</v>
      </c>
      <c r="B31" s="3" t="s">
        <v>7</v>
      </c>
      <c r="C31" s="3"/>
      <c r="D31" s="3" t="s">
        <v>13</v>
      </c>
      <c r="E31" s="6" t="s">
        <v>12</v>
      </c>
      <c r="F31" s="5" t="s">
        <v>4</v>
      </c>
      <c r="G31" s="3" t="s">
        <v>3</v>
      </c>
      <c r="H31" s="4" t="s">
        <v>11</v>
      </c>
      <c r="I31" s="3" t="s">
        <v>10</v>
      </c>
    </row>
    <row r="32" spans="1:9" x14ac:dyDescent="0.25">
      <c r="A32" s="2" t="s">
        <v>8</v>
      </c>
      <c r="B32" s="3" t="s">
        <v>7</v>
      </c>
      <c r="C32" s="3"/>
      <c r="D32" s="3" t="s">
        <v>6</v>
      </c>
      <c r="E32" s="4" t="s">
        <v>9</v>
      </c>
      <c r="F32" s="5" t="s">
        <v>4</v>
      </c>
      <c r="G32" s="3" t="s">
        <v>3</v>
      </c>
      <c r="H32" s="4" t="s">
        <v>2</v>
      </c>
      <c r="I32" s="3" t="s">
        <v>9</v>
      </c>
    </row>
    <row r="33" spans="1:9" x14ac:dyDescent="0.25">
      <c r="A33" s="2" t="s">
        <v>8</v>
      </c>
      <c r="B33" s="3" t="s">
        <v>7</v>
      </c>
      <c r="C33" s="3"/>
      <c r="D33" s="3" t="s">
        <v>6</v>
      </c>
      <c r="E33" s="4" t="s">
        <v>5</v>
      </c>
      <c r="F33" s="5" t="s">
        <v>4</v>
      </c>
      <c r="G33" s="3" t="s">
        <v>3</v>
      </c>
      <c r="H33" s="4" t="s">
        <v>2</v>
      </c>
      <c r="I33" s="3" t="s">
        <v>1</v>
      </c>
    </row>
    <row r="58" spans="1:1" x14ac:dyDescent="0.25">
      <c r="A58" s="2" t="s">
        <v>0</v>
      </c>
    </row>
  </sheetData>
  <conditionalFormatting sqref="I1:I22 I28:I1048576">
    <cfRule type="containsText" dxfId="0" priority="1" operator="containsText" text="Pending">
      <formula>NOT(ISERROR(SEARCH("Pending",I1)))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PAR_2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Alexis Julon Ventura</dc:creator>
  <cp:lastModifiedBy>Junior Alexis Julon Ventura</cp:lastModifiedBy>
  <dcterms:created xsi:type="dcterms:W3CDTF">2026-04-20T20:47:25Z</dcterms:created>
  <dcterms:modified xsi:type="dcterms:W3CDTF">2026-04-20T20:48:05Z</dcterms:modified>
</cp:coreProperties>
</file>